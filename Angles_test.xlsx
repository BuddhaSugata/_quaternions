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rojekte\_quaternions\"/>
    </mc:Choice>
  </mc:AlternateContent>
  <xr:revisionPtr revIDLastSave="0" documentId="13_ncr:1_{497D76E1-6828-4163-A66D-18E06C3FED86}" xr6:coauthVersionLast="47" xr6:coauthVersionMax="47" xr10:uidLastSave="{00000000-0000-0000-0000-000000000000}"/>
  <bookViews>
    <workbookView xWindow="30690" yWindow="2685" windowWidth="21600" windowHeight="11385" activeTab="1" xr2:uid="{00000000-000D-0000-FFFF-FFFF00000000}"/>
  </bookViews>
  <sheets>
    <sheet name="Tabell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C17" i="2"/>
  <c r="C13" i="2"/>
  <c r="C12" i="2"/>
  <c r="G11" i="2"/>
  <c r="G14" i="2" s="1"/>
  <c r="D11" i="2"/>
  <c r="D13" i="2" s="1"/>
  <c r="C11" i="2"/>
  <c r="K6" i="2" s="1"/>
  <c r="G10" i="2"/>
  <c r="D10" i="2"/>
  <c r="C10" i="2"/>
  <c r="I9" i="2"/>
  <c r="I10" i="2" s="1"/>
  <c r="G9" i="2"/>
  <c r="F9" i="2"/>
  <c r="F10" i="2" s="1"/>
  <c r="E9" i="2"/>
  <c r="E10" i="2" s="1"/>
  <c r="D9" i="2"/>
  <c r="C9" i="2"/>
  <c r="I8" i="2"/>
  <c r="F8" i="2"/>
  <c r="E8" i="2"/>
  <c r="C8" i="2"/>
  <c r="I7" i="2"/>
  <c r="G7" i="2"/>
  <c r="G8" i="2" s="1"/>
  <c r="F7" i="2"/>
  <c r="E7" i="2"/>
  <c r="D7" i="2"/>
  <c r="D8" i="2" s="1"/>
  <c r="C7" i="2"/>
  <c r="G6" i="2"/>
  <c r="C14" i="1"/>
  <c r="D14" i="1"/>
  <c r="G14" i="1"/>
  <c r="K14" i="1"/>
  <c r="J11" i="1"/>
  <c r="K11" i="1"/>
  <c r="K13" i="1" s="1"/>
  <c r="K10" i="1"/>
  <c r="M9" i="1"/>
  <c r="M10" i="1" s="1"/>
  <c r="K9" i="1"/>
  <c r="M8" i="1"/>
  <c r="M7" i="1"/>
  <c r="K7" i="1"/>
  <c r="K8" i="1" s="1"/>
  <c r="K6" i="1"/>
  <c r="I9" i="1"/>
  <c r="I10" i="1" s="1"/>
  <c r="I8" i="1"/>
  <c r="I7" i="1"/>
  <c r="G11" i="1"/>
  <c r="G13" i="1" s="1"/>
  <c r="G10" i="1"/>
  <c r="G9" i="1"/>
  <c r="G7" i="1"/>
  <c r="G8" i="1" s="1"/>
  <c r="G6" i="1"/>
  <c r="F7" i="1"/>
  <c r="F8" i="1"/>
  <c r="F9" i="1"/>
  <c r="F10" i="1"/>
  <c r="D11" i="1"/>
  <c r="D13" i="1" s="1"/>
  <c r="D10" i="1"/>
  <c r="D9" i="1"/>
  <c r="D7" i="1"/>
  <c r="D8" i="1" s="1"/>
  <c r="C11" i="1"/>
  <c r="C13" i="1" s="1"/>
  <c r="E8" i="1"/>
  <c r="E10" i="1"/>
  <c r="E9" i="1"/>
  <c r="E7" i="1"/>
  <c r="C10" i="1"/>
  <c r="C9" i="1"/>
  <c r="C7" i="1"/>
  <c r="C8" i="1" s="1"/>
  <c r="K11" i="2" l="1"/>
  <c r="M8" i="2"/>
  <c r="M7" i="2"/>
  <c r="K10" i="2"/>
  <c r="M9" i="2"/>
  <c r="M10" i="2" s="1"/>
  <c r="K7" i="2"/>
  <c r="K8" i="2" s="1"/>
  <c r="K9" i="2"/>
  <c r="G12" i="2"/>
  <c r="G13" i="2"/>
  <c r="D14" i="2"/>
  <c r="J11" i="2"/>
  <c r="D12" i="2"/>
  <c r="C14" i="2"/>
  <c r="K12" i="1"/>
  <c r="G12" i="1"/>
  <c r="D12" i="1"/>
  <c r="C12" i="1"/>
  <c r="K14" i="2" l="1"/>
  <c r="K12" i="2"/>
  <c r="K13" i="2"/>
</calcChain>
</file>

<file path=xl/sharedStrings.xml><?xml version="1.0" encoding="utf-8"?>
<sst xmlns="http://schemas.openxmlformats.org/spreadsheetml/2006/main" count="18" uniqueCount="9">
  <si>
    <t>theta</t>
  </si>
  <si>
    <t>eta</t>
  </si>
  <si>
    <t>cosh_eta</t>
  </si>
  <si>
    <t>cos_theta</t>
  </si>
  <si>
    <t>sec_theta</t>
  </si>
  <si>
    <t>sin_theta</t>
  </si>
  <si>
    <t>tan_theta</t>
  </si>
  <si>
    <t>sinh_eta</t>
  </si>
  <si>
    <t>tanh_eta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</si>
</sst>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M14"/>
  <sheetViews>
    <sheetView workbookViewId="0">
      <selection sqref="A1:XFD1048576"/>
    </sheetView>
  </sheetViews>
  <sheetFormatPr defaultRowHeight="15" x14ac:dyDescent="0.25"/>
  <cols>
    <col min="3" max="3" width="14" customWidth="1"/>
    <col min="4" max="4" width="14.42578125" customWidth="1"/>
    <col min="5" max="5" width="16.28515625" customWidth="1"/>
    <col min="6" max="6" width="14.7109375" customWidth="1"/>
    <col min="7" max="7" width="13.7109375" customWidth="1"/>
    <col min="9" max="9" width="14.42578125" customWidth="1"/>
  </cols>
  <sheetData>
    <row r="5" spans="1:13" x14ac:dyDescent="0.25">
      <c r="C5">
        <v>1</v>
      </c>
      <c r="D5">
        <v>2</v>
      </c>
      <c r="G5">
        <v>3</v>
      </c>
      <c r="K5">
        <v>4</v>
      </c>
    </row>
    <row r="6" spans="1:13" x14ac:dyDescent="0.25">
      <c r="A6" t="s">
        <v>0</v>
      </c>
      <c r="C6">
        <v>0.52359877559829804</v>
      </c>
      <c r="D6">
        <v>0.1</v>
      </c>
      <c r="G6">
        <f>C6+D6</f>
        <v>0.62359877559829802</v>
      </c>
      <c r="K6">
        <f>ATAN(TANH(C11+D11))</f>
        <v>0.56972271254884632</v>
      </c>
    </row>
    <row r="7" spans="1:13" x14ac:dyDescent="0.25">
      <c r="A7" t="s">
        <v>3</v>
      </c>
      <c r="C7">
        <f>COS(C6)</f>
        <v>0.86602540378443904</v>
      </c>
      <c r="D7">
        <f>COS(D6)</f>
        <v>0.99500416527802582</v>
      </c>
      <c r="E7" s="1">
        <f>COS(C6)/SQRT(COS(2*C6))</f>
        <v>1.2247448713915878</v>
      </c>
      <c r="F7" s="1">
        <f>COS(D6)/SQRT(COS(2*D6))</f>
        <v>1.005071849407094</v>
      </c>
      <c r="G7">
        <f>COS(G6)</f>
        <v>0.81178217567868705</v>
      </c>
      <c r="I7" s="1">
        <f>COS(G6)/SQRT(COS(2*G6))</f>
        <v>1.4395912490363625</v>
      </c>
      <c r="K7">
        <f>COS(K6)</f>
        <v>0.84205057598952548</v>
      </c>
      <c r="M7" s="1">
        <f>COS(K6)/SQRT(COS(2*K6))</f>
        <v>1.3022637541196276</v>
      </c>
    </row>
    <row r="8" spans="1:13" x14ac:dyDescent="0.25">
      <c r="A8" t="s">
        <v>4</v>
      </c>
      <c r="C8" s="3">
        <f>1/C7</f>
        <v>1.154700538379251</v>
      </c>
      <c r="D8" s="3">
        <f>1/D7</f>
        <v>1.0050209184004553</v>
      </c>
      <c r="E8">
        <f>_xlfn.SEC(C6)/SQRT(COS(2*C6))</f>
        <v>1.632993161855449</v>
      </c>
      <c r="F8">
        <f>_xlfn.SEC(D6)/SQRT(COS(2*D6))</f>
        <v>1.0151899543730178</v>
      </c>
      <c r="G8" s="3">
        <f>1/G7</f>
        <v>1.2318575474559468</v>
      </c>
      <c r="I8">
        <f>_xlfn.SEC(G6)/SQRT(COS(2*G6))</f>
        <v>2.1845408762447351</v>
      </c>
      <c r="K8" s="3">
        <f>1/K7</f>
        <v>1.1875771224606815</v>
      </c>
      <c r="M8">
        <f>_xlfn.SEC(K6)/SQRT(COS(2*K6))</f>
        <v>1.8366339100057447</v>
      </c>
    </row>
    <row r="9" spans="1:13" x14ac:dyDescent="0.25">
      <c r="A9" t="s">
        <v>5</v>
      </c>
      <c r="C9" s="3">
        <f>SIN(C6)</f>
        <v>0.49999999999999928</v>
      </c>
      <c r="D9" s="3">
        <f>SIN(D6)</f>
        <v>9.9833416646828155E-2</v>
      </c>
      <c r="E9" s="2">
        <f>SIN(C6)/SQRT(COS(2*C6))</f>
        <v>0.70710678118654546</v>
      </c>
      <c r="F9" s="2">
        <f>SIN(D6)/SQRT(COS(2*D6))</f>
        <v>0.10084355443257811</v>
      </c>
      <c r="G9" s="4">
        <f>SIN(G6)</f>
        <v>0.58396035760176168</v>
      </c>
      <c r="H9" s="4"/>
      <c r="I9" s="2">
        <f>SIN(G6)/SQRT(COS(2*G6))</f>
        <v>1.0355785650070566</v>
      </c>
      <c r="K9" s="4">
        <f>SIN(K6)</f>
        <v>0.53939857941573077</v>
      </c>
      <c r="L9" s="4"/>
      <c r="M9" s="2">
        <f>SIN(K6)/SQRT(COS(2*K6))</f>
        <v>0.83420074639965736</v>
      </c>
    </row>
    <row r="10" spans="1:13" x14ac:dyDescent="0.25">
      <c r="A10" t="s">
        <v>6</v>
      </c>
      <c r="C10" s="3">
        <f>TAN(C6)</f>
        <v>0.57735026918962462</v>
      </c>
      <c r="D10" s="3">
        <f>TAN(D6)</f>
        <v>0.10033467208545055</v>
      </c>
      <c r="E10" s="3">
        <f>E9/E7</f>
        <v>0.57735026918962462</v>
      </c>
      <c r="F10" s="3">
        <f>F9/F7</f>
        <v>0.10033467208545055</v>
      </c>
      <c r="G10" s="4">
        <f>TAN(G6)</f>
        <v>0.71935597392680384</v>
      </c>
      <c r="H10" s="4"/>
      <c r="I10" s="4">
        <f>I9/I7</f>
        <v>0.71935597392680384</v>
      </c>
      <c r="K10" s="4">
        <f>TAN(K6)</f>
        <v>0.64057741280191283</v>
      </c>
      <c r="L10" s="4"/>
      <c r="M10" s="4">
        <f>M9/M7</f>
        <v>0.64057741280191283</v>
      </c>
    </row>
    <row r="11" spans="1:13" x14ac:dyDescent="0.25">
      <c r="A11" t="s">
        <v>1</v>
      </c>
      <c r="C11">
        <f>ATANH(TAN(C6))</f>
        <v>0.65847894846240662</v>
      </c>
      <c r="D11">
        <f>ATANH(TAN(D6))</f>
        <v>0.10067341178386374</v>
      </c>
      <c r="G11" s="4">
        <f>ATANH(TAN(G6))</f>
        <v>0.90630900540169113</v>
      </c>
      <c r="H11" s="4"/>
      <c r="I11" s="4"/>
      <c r="J11">
        <f>C11+D11</f>
        <v>0.75915236024627042</v>
      </c>
      <c r="K11" s="4">
        <f>ATANH(TAN(K6))</f>
        <v>0.75915236024627053</v>
      </c>
      <c r="L11" s="4"/>
      <c r="M11" s="4"/>
    </row>
    <row r="12" spans="1:13" x14ac:dyDescent="0.25">
      <c r="A12" t="s">
        <v>2</v>
      </c>
      <c r="C12" s="1">
        <f>COSH(C11)</f>
        <v>1.2247448713915878</v>
      </c>
      <c r="D12" s="1">
        <f>COSH(D11)</f>
        <v>1.005071849407094</v>
      </c>
      <c r="G12" s="1">
        <f>COSH(G11)</f>
        <v>1.4395912490363627</v>
      </c>
      <c r="H12" s="4"/>
      <c r="I12" s="4"/>
      <c r="K12" s="1">
        <f>COSH(K11)</f>
        <v>1.3022637541196271</v>
      </c>
      <c r="L12" s="4"/>
      <c r="M12" s="4"/>
    </row>
    <row r="13" spans="1:13" x14ac:dyDescent="0.25">
      <c r="A13" t="s">
        <v>7</v>
      </c>
      <c r="C13" s="2">
        <f>SINH(C11)</f>
        <v>0.70710678118654546</v>
      </c>
      <c r="D13" s="2">
        <f>SINH(D11)</f>
        <v>0.1008435544325781</v>
      </c>
      <c r="G13" s="2">
        <f>SINH(G11)</f>
        <v>1.0355785650070568</v>
      </c>
      <c r="H13" s="4"/>
      <c r="I13" s="4"/>
      <c r="K13" s="2">
        <f>SINH(K11)</f>
        <v>0.83420074639965724</v>
      </c>
      <c r="L13" s="4"/>
      <c r="M13" s="4"/>
    </row>
    <row r="14" spans="1:13" x14ac:dyDescent="0.25">
      <c r="A14" t="s">
        <v>8</v>
      </c>
      <c r="C14" s="4">
        <f>TANH(C11)</f>
        <v>0.57735026918962462</v>
      </c>
      <c r="D14" s="4">
        <f>TANH(D11)</f>
        <v>0.10033467208545054</v>
      </c>
      <c r="G14" s="4">
        <f>TANH(G11)</f>
        <v>0.71935597392680395</v>
      </c>
      <c r="H14" s="4"/>
      <c r="I14" s="4"/>
      <c r="K14" s="4">
        <f>TANH(K11)</f>
        <v>0.64057741280191283</v>
      </c>
      <c r="L14" s="4"/>
      <c r="M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9861-5EB9-43FA-927D-5FC45CF92821}">
  <dimension ref="A5:M17"/>
  <sheetViews>
    <sheetView tabSelected="1" workbookViewId="0">
      <selection activeCell="D19" sqref="D19"/>
    </sheetView>
  </sheetViews>
  <sheetFormatPr defaultRowHeight="15" x14ac:dyDescent="0.25"/>
  <cols>
    <col min="3" max="3" width="14" customWidth="1"/>
    <col min="4" max="4" width="14.42578125" customWidth="1"/>
    <col min="5" max="5" width="16.28515625" customWidth="1"/>
    <col min="6" max="6" width="14.7109375" customWidth="1"/>
    <col min="7" max="7" width="13.7109375" customWidth="1"/>
    <col min="9" max="9" width="14.42578125" customWidth="1"/>
  </cols>
  <sheetData>
    <row r="5" spans="1:13" x14ac:dyDescent="0.25">
      <c r="C5">
        <v>1</v>
      </c>
      <c r="D5">
        <v>2</v>
      </c>
      <c r="G5">
        <v>3</v>
      </c>
      <c r="K5">
        <v>4</v>
      </c>
    </row>
    <row r="6" spans="1:13" x14ac:dyDescent="0.25">
      <c r="A6" t="s">
        <v>0</v>
      </c>
      <c r="C6">
        <v>0.52359877559829804</v>
      </c>
      <c r="D6">
        <v>0.1</v>
      </c>
      <c r="G6">
        <f>C6+D6</f>
        <v>0.62359877559829802</v>
      </c>
      <c r="K6">
        <f>ATAN(TANH(C11+D11))</f>
        <v>0.56972271254884632</v>
      </c>
    </row>
    <row r="7" spans="1:13" x14ac:dyDescent="0.25">
      <c r="A7" t="s">
        <v>3</v>
      </c>
      <c r="C7">
        <f>COS(C6)</f>
        <v>0.86602540378443904</v>
      </c>
      <c r="D7">
        <f>COS(D6)</f>
        <v>0.99500416527802582</v>
      </c>
      <c r="E7" s="1">
        <f>COS(C6)/SQRT(COS(2*C6))</f>
        <v>1.2247448713915878</v>
      </c>
      <c r="F7" s="1">
        <f>COS(D6)/SQRT(COS(2*D6))</f>
        <v>1.005071849407094</v>
      </c>
      <c r="G7">
        <f>COS(G6)</f>
        <v>0.81178217567868705</v>
      </c>
      <c r="I7" s="1">
        <f>COS(G6)/SQRT(COS(2*G6))</f>
        <v>1.4395912490363625</v>
      </c>
      <c r="K7">
        <f>COS(K6)</f>
        <v>0.84205057598952548</v>
      </c>
      <c r="M7" s="1">
        <f>COS(K6)/SQRT(COS(2*K6))</f>
        <v>1.3022637541196276</v>
      </c>
    </row>
    <row r="8" spans="1:13" x14ac:dyDescent="0.25">
      <c r="A8" t="s">
        <v>4</v>
      </c>
      <c r="C8" s="3">
        <f>1/C7</f>
        <v>1.154700538379251</v>
      </c>
      <c r="D8" s="3">
        <f>1/D7</f>
        <v>1.0050209184004553</v>
      </c>
      <c r="E8">
        <f>_xlfn.SEC(C6)/SQRT(COS(2*C6))</f>
        <v>1.632993161855449</v>
      </c>
      <c r="F8">
        <f>_xlfn.SEC(D6)/SQRT(COS(2*D6))</f>
        <v>1.0151899543730178</v>
      </c>
      <c r="G8" s="3">
        <f>1/G7</f>
        <v>1.2318575474559468</v>
      </c>
      <c r="I8">
        <f>_xlfn.SEC(G6)/SQRT(COS(2*G6))</f>
        <v>2.1845408762447351</v>
      </c>
      <c r="K8" s="3">
        <f>1/K7</f>
        <v>1.1875771224606815</v>
      </c>
      <c r="M8">
        <f>_xlfn.SEC(K6)/SQRT(COS(2*K6))</f>
        <v>1.8366339100057447</v>
      </c>
    </row>
    <row r="9" spans="1:13" x14ac:dyDescent="0.25">
      <c r="A9" t="s">
        <v>5</v>
      </c>
      <c r="C9" s="3">
        <f>SIN(C6)</f>
        <v>0.49999999999999928</v>
      </c>
      <c r="D9" s="3">
        <f>SIN(D6)</f>
        <v>9.9833416646828155E-2</v>
      </c>
      <c r="E9" s="2">
        <f>SIN(C6)/SQRT(COS(2*C6))</f>
        <v>0.70710678118654546</v>
      </c>
      <c r="F9" s="2">
        <f>SIN(D6)/SQRT(COS(2*D6))</f>
        <v>0.10084355443257811</v>
      </c>
      <c r="G9" s="4">
        <f>SIN(G6)</f>
        <v>0.58396035760176168</v>
      </c>
      <c r="H9" s="4"/>
      <c r="I9" s="2">
        <f>SIN(G6)/SQRT(COS(2*G6))</f>
        <v>1.0355785650070566</v>
      </c>
      <c r="K9" s="4">
        <f>SIN(K6)</f>
        <v>0.53939857941573077</v>
      </c>
      <c r="L9" s="4"/>
      <c r="M9" s="2">
        <f>SIN(K6)/SQRT(COS(2*K6))</f>
        <v>0.83420074639965736</v>
      </c>
    </row>
    <row r="10" spans="1:13" x14ac:dyDescent="0.25">
      <c r="A10" t="s">
        <v>6</v>
      </c>
      <c r="C10" s="3">
        <f>TAN(C6)</f>
        <v>0.57735026918962462</v>
      </c>
      <c r="D10" s="3">
        <f>TAN(D6)</f>
        <v>0.10033467208545055</v>
      </c>
      <c r="E10" s="3">
        <f>E9/E7</f>
        <v>0.57735026918962462</v>
      </c>
      <c r="F10" s="3">
        <f>F9/F7</f>
        <v>0.10033467208545055</v>
      </c>
      <c r="G10" s="4">
        <f>TAN(G6)</f>
        <v>0.71935597392680384</v>
      </c>
      <c r="H10" s="4"/>
      <c r="I10" s="4">
        <f>I9/I7</f>
        <v>0.71935597392680384</v>
      </c>
      <c r="K10" s="4">
        <f>TAN(K6)</f>
        <v>0.64057741280191283</v>
      </c>
      <c r="L10" s="4"/>
      <c r="M10" s="4">
        <f>M9/M7</f>
        <v>0.64057741280191283</v>
      </c>
    </row>
    <row r="11" spans="1:13" x14ac:dyDescent="0.25">
      <c r="A11" t="s">
        <v>1</v>
      </c>
      <c r="C11">
        <f>ATANH(TAN(C6))</f>
        <v>0.65847894846240662</v>
      </c>
      <c r="D11">
        <f>ATANH(TAN(D6))</f>
        <v>0.10067341178386374</v>
      </c>
      <c r="G11" s="4">
        <f>ATANH(TAN(G6))</f>
        <v>0.90630900540169113</v>
      </c>
      <c r="H11" s="4"/>
      <c r="I11" s="4"/>
      <c r="J11">
        <f>C11+D11</f>
        <v>0.75915236024627042</v>
      </c>
      <c r="K11" s="4">
        <f>ATANH(TAN(K6))</f>
        <v>0.75915236024627053</v>
      </c>
      <c r="L11" s="4"/>
      <c r="M11" s="4"/>
    </row>
    <row r="12" spans="1:13" x14ac:dyDescent="0.25">
      <c r="A12" t="s">
        <v>2</v>
      </c>
      <c r="C12" s="1">
        <f>COSH(C11)</f>
        <v>1.2247448713915878</v>
      </c>
      <c r="D12" s="1">
        <f>COSH(D11)</f>
        <v>1.005071849407094</v>
      </c>
      <c r="G12" s="1">
        <f>COSH(G11)</f>
        <v>1.4395912490363627</v>
      </c>
      <c r="H12" s="4"/>
      <c r="I12" s="4"/>
      <c r="K12" s="1">
        <f>COSH(K11)</f>
        <v>1.3022637541196271</v>
      </c>
      <c r="L12" s="4"/>
      <c r="M12" s="4"/>
    </row>
    <row r="13" spans="1:13" x14ac:dyDescent="0.25">
      <c r="A13" t="s">
        <v>7</v>
      </c>
      <c r="C13" s="2">
        <f>SINH(C11)</f>
        <v>0.70710678118654546</v>
      </c>
      <c r="D13" s="2">
        <f>SINH(D11)</f>
        <v>0.1008435544325781</v>
      </c>
      <c r="G13" s="2">
        <f>SINH(G11)</f>
        <v>1.0355785650070568</v>
      </c>
      <c r="H13" s="4"/>
      <c r="I13" s="4"/>
      <c r="K13" s="2">
        <f>SINH(K11)</f>
        <v>0.83420074639965724</v>
      </c>
      <c r="L13" s="4"/>
      <c r="M13" s="4"/>
    </row>
    <row r="14" spans="1:13" x14ac:dyDescent="0.25">
      <c r="A14" t="s">
        <v>8</v>
      </c>
      <c r="C14" s="4">
        <f>TANH(C11)</f>
        <v>0.57735026918962462</v>
      </c>
      <c r="D14" s="4">
        <f>TANH(D11)</f>
        <v>0.10033467208545054</v>
      </c>
      <c r="G14" s="4">
        <f>TANH(G11)</f>
        <v>0.71935597392680395</v>
      </c>
      <c r="H14" s="4"/>
      <c r="I14" s="4"/>
      <c r="K14" s="4">
        <f>TANH(K11)</f>
        <v>0.64057741280191283</v>
      </c>
      <c r="L14" s="4"/>
      <c r="M14" s="4"/>
    </row>
    <row r="17" spans="3:4" x14ac:dyDescent="0.25">
      <c r="C17">
        <f>1/COS(2*C6)</f>
        <v>1.9999999999999942</v>
      </c>
      <c r="D17">
        <f>1/COS(2*D6)</f>
        <v>1.0203388449411928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ABIZGELDIN, Timur</dc:creator>
  <cp:lastModifiedBy>ABIZGELDIN, Timur</cp:lastModifiedBy>
  <dcterms:created xsi:type="dcterms:W3CDTF">2015-06-05T18:19:34Z</dcterms:created>
  <dcterms:modified xsi:type="dcterms:W3CDTF">2025-12-11T10:23:30Z</dcterms:modified>
</cp:coreProperties>
</file>